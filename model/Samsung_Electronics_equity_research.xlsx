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c004ff409a45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160dbfdbf14495a"/>
    <x:sheet xmlns:r="http://schemas.openxmlformats.org/officeDocument/2006/relationships" name="Actuals &amp; Sources" sheetId="2" r:id="R979a75f6ed054002"/>
    <x:sheet xmlns:r="http://schemas.openxmlformats.org/officeDocument/2006/relationships" name="SOTP" sheetId="3" r:id="R8aaaa7beda8c41f6"/>
    <x:sheet xmlns:r="http://schemas.openxmlformats.org/officeDocument/2006/relationships" name="Memory Premium" sheetId="4" r:id="Rfb2dbf58768c421a"/>
    <x:sheet xmlns:r="http://schemas.openxmlformats.org/officeDocument/2006/relationships" name="DCF" sheetId="5" r:id="R99cfa0c83ba541cb"/>
    <x:sheet xmlns:r="http://schemas.openxmlformats.org/officeDocument/2006/relationships" name="RIM" sheetId="6" r:id="R655dfa961021464d"/>
    <x:sheet xmlns:r="http://schemas.openxmlformats.org/officeDocument/2006/relationships" name="Peer PER" sheetId="7" r:id="Rcc5af1ba6e3742a8"/>
    <x:sheet xmlns:r="http://schemas.openxmlformats.org/officeDocument/2006/relationships" name="Audit" sheetId="8" r:id="R817d466cab204f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#,##0.0"/>
    <x:numFmt numFmtId="203" formatCode="0.0x"/>
  </x:numFmts>
  <x:fonts count="10">
    <x:font>
      <x:sz val="11"/>
      <x:name val="Carlito"/>
    </x:font>
    <x:font>
      <x:b/>
      <x:sz val="22"/>
      <x:color rgb="FFFFFFFF"/>
      <x:name val="Aptos Display"/>
    </x:font>
    <x:font>
      <x:i/>
      <x:sz val="10"/>
      <x:color rgb="FF1F2937"/>
      <x:name val="Aptos"/>
    </x:font>
    <x:font>
      <x:b/>
      <x:sz val="11"/>
      <x:color rgb="FFFFFFFF"/>
      <x:name val="Aptos"/>
    </x:font>
    <x:font>
      <x:sz val="11"/>
      <x:color rgb="FF0000FF"/>
      <x:name val="Aptos"/>
    </x:font>
    <x:font>
      <x:sz val="11"/>
      <x:color rgb="FF008000"/>
      <x:name val="Aptos"/>
    </x:font>
    <x:font>
      <x:sz val="11"/>
      <x:color rgb="FF1F2937"/>
      <x:name val="Aptos"/>
    </x:font>
    <x:font>
      <x:b/>
      <x:sz val="11"/>
      <x:name val="Carlito"/>
    </x:font>
    <x:font>
      <x:b/>
      <x:sz val="10"/>
      <x:color rgb="FFFFFFFF"/>
      <x:name val="Carlito"/>
    </x:font>
    <x:font>
      <x:sz val="9"/>
      <x:color rgb="FF243447"/>
      <x:name val="Arial"/>
    </x:font>
  </x:fonts>
  <x:fills count="12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DCEAF5"/>
      </x:patternFill>
    </x:fill>
    <x:fill>
      <x:patternFill patternType="solid">
        <x:fgColor rgb="FF137A86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E7E6E6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F3F6FA"/>
      </x:patternFill>
    </x:fill>
    <x:fill>
      <x:patternFill patternType="solid">
        <x:fgColor rgb="FFFFFF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200" fontId="5" fillId="6" borderId="0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201" fontId="6" fillId="7" borderId="0" xfId="0" applyNumberFormat="1" applyFont="1" applyFill="1" applyBorder="1"/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wrapText="1"/>
    </x:xf>
    <x:xf numFmtId="200" fontId="6" fillId="7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200" fontId="4" fillId="5" borderId="0" xfId="0" applyNumberFormat="1" applyFont="1" applyFill="1" applyBorder="1" applyAlignment="1">
      <x:alignment wrapText="1"/>
    </x:xf>
    <x:xf numFmtId="202" fontId="5" fillId="6" borderId="0" xfId="0" applyNumberFormat="1" applyFont="1" applyFill="1" applyBorder="1"/>
    <x:xf numFmtId="202" fontId="4" fillId="5" borderId="0" xfId="0" applyNumberFormat="1" applyFont="1" applyFill="1" applyBorder="1"/>
    <x:xf numFmtId="200" fontId="6" fillId="7" borderId="0" xfId="0" applyNumberFormat="1" applyFont="1" applyFill="1" applyBorder="1"/>
    <x:xf numFmtId="202" fontId="5" fillId="6" borderId="0" xfId="0" applyNumberFormat="1" applyFont="1" applyFill="1" applyBorder="1" applyAlignment="1">
      <x:alignment wrapText="1"/>
    </x:xf>
    <x:xf numFmtId="202" fontId="4" fillId="5" borderId="0" xfId="0" applyNumberFormat="1" applyFont="1" applyFill="1" applyBorder="1" applyAlignment="1">
      <x:alignment wrapText="1"/>
    </x:xf>
    <x:xf numFmtId="200" fontId="6" fillId="5" borderId="0" xfId="0" applyNumberFormat="1" applyFont="1" applyFill="1" applyBorder="1"/>
    <x:xf numFmtId="201" fontId="4" fillId="5" borderId="0" xfId="0" applyNumberFormat="1" applyFont="1" applyFill="1" applyBorder="1"/>
    <x:xf numFmtId="201" fontId="4" fillId="5" borderId="0" xfId="0" applyNumberFormat="1" applyFont="1" applyFill="1" applyBorder="1" applyAlignment="1">
      <x:alignment wrapText="1"/>
    </x:xf>
    <x:xf numFmtId="201" fontId="6" fillId="7" borderId="0" xfId="0" applyNumberFormat="1" applyFont="1" applyFill="1" applyBorder="1" applyAlignment="1">
      <x:alignment wrapText="1"/>
    </x:xf>
    <x:xf numFmtId="203" fontId="4" fillId="5" borderId="0" xfId="0" applyNumberFormat="1" applyFont="1" applyFill="1" applyBorder="1"/>
    <x:xf numFmtId="202" fontId="6" fillId="7" borderId="0" xfId="0" applyNumberFormat="1" applyFont="1" applyFill="1" applyBorder="1"/>
    <x:xf numFmtId="200" fontId="5" fillId="6" borderId="0" xfId="0" applyNumberFormat="1" applyFont="1" applyFill="1" applyBorder="1" applyAlignment="1">
      <x:alignment wrapText="1"/>
    </x:xf>
    <x:xf numFmtId="203" fontId="4" fillId="5" borderId="0" xfId="0" applyNumberFormat="1" applyFont="1" applyFill="1" applyBorder="1" applyAlignment="1">
      <x:alignment wrapText="1"/>
    </x:xf>
    <x:xf numFmtId="202" fontId="6" fillId="7" borderId="0" xfId="0" applyNumberFormat="1" applyFont="1" applyFill="1" applyBorder="1" applyAlignment="1">
      <x:alignment wrapText="1"/>
    </x:xf>
    <x:xf numFmtId="203" fontId="6" fillId="7" borderId="0" xfId="0" applyNumberFormat="1" applyFont="1" applyFill="1" applyBorder="1"/>
    <x:xf numFmtId="202" fontId="4" fillId="7" borderId="0" xfId="0" applyNumberFormat="1" applyFont="1" applyFill="1" applyBorder="1"/>
    <x:xf numFmtId="0" fontId="7" fillId="5" borderId="0" xfId="0" applyNumberFormat="1" applyFont="1" applyFill="1" applyBorder="1"/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0" xfId="0" applyNumberFormat="1" applyFont="1" applyFill="1" applyBorder="1" applyAlignment="1">
      <x:alignment wrapText="1"/>
    </x:xf>
    <x:xf numFmtId="0" fontId="9" fillId="10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9" fillId="11" borderId="0" xfId="0" applyNumberFormat="1" applyFont="1" applyFill="1" applyBorder="1"/>
    <x:xf numFmtId="0" fontId="9" fillId="11" borderId="0" xfId="0" applyNumberFormat="1" applyFont="1" applyFill="1" applyBorder="1" applyAlignment="1">
      <x:alignment wrapText="1"/>
    </x:xf>
    <x:xf numFmtId="0" fontId="9" fillId="11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06a7b9ce754dce" /><Relationship Type="http://schemas.openxmlformats.org/officeDocument/2006/relationships/theme" Target="/xl/theme/theme1.xml" Id="R10c4cdc2af6c4d19" /><Relationship Type="http://schemas.openxmlformats.org/officeDocument/2006/relationships/sharedStrings" Target="/xl/sharedStrings.xml" Id="R81bb8824a2094541" /><Relationship Type="http://schemas.openxmlformats.org/officeDocument/2006/relationships/worksheet" Target="/xl/worksheets/sheet1.xml" Id="R4160dbfdbf14495a" /><Relationship Type="http://schemas.openxmlformats.org/officeDocument/2006/relationships/worksheet" Target="/xl/worksheets/sheet2.xml" Id="R979a75f6ed054002" /><Relationship Type="http://schemas.openxmlformats.org/officeDocument/2006/relationships/worksheet" Target="/xl/worksheets/sheet3.xml" Id="R8aaaa7beda8c41f6" /><Relationship Type="http://schemas.openxmlformats.org/officeDocument/2006/relationships/worksheet" Target="/xl/worksheets/sheet4.xml" Id="Rfb2dbf58768c421a" /><Relationship Type="http://schemas.openxmlformats.org/officeDocument/2006/relationships/worksheet" Target="/xl/worksheets/sheet5.xml" Id="R99cfa0c83ba541cb" /><Relationship Type="http://schemas.openxmlformats.org/officeDocument/2006/relationships/worksheet" Target="/xl/worksheets/sheet6.xml" Id="R655dfa961021464d" /><Relationship Type="http://schemas.openxmlformats.org/officeDocument/2006/relationships/worksheet" Target="/xl/worksheets/sheet7.xml" Id="Rcc5af1ba6e3742a8" /><Relationship Type="http://schemas.openxmlformats.org/officeDocument/2006/relationships/worksheet" Target="/xl/worksheets/sheet8.xml" Id="R817d466cab204f8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18" hidden="0" customWidth="1"/>
    <x:col min="3" max="3" width="22" hidden="0" customWidth="1"/>
    <x:col min="4" max="4" width="36" hidden="0" customWidth="1"/>
    <x:col min="5" max="5" width="26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4" t="str">
        <x:v>Samsung Electronics Equity Research</x:v>
      </x:c>
    </x:row>
    <x:row r="2" ht="24" customHeight="1">
      <x:c r="A2" s="7" t="str">
        <x:v>As of 2026-10-10 | KRW bn except per share | 3Q26 is preliminary</x:v>
      </x:c>
    </x:row>
    <x:row r="4">
      <x:c r="A4" s="12" t="str">
        <x:v>Headline</x:v>
      </x:c>
      <x:c r="B4" s="12" t="str">
        <x:v>Value</x:v>
      </x:c>
      <x:c r="C4" s="12" t="str">
        <x:v>Role</x:v>
      </x:c>
      <x:c r="D4" s="12" t="str">
        <x:v>Why it matters</x:v>
      </x:c>
      <x:c r="E4" s="12" t="str">
        <x:v>Update trigger</x:v>
      </x:c>
    </x:row>
    <x:row r="5">
      <x:c r="A5" t="str">
        <x:v>Closing price</x:v>
      </x:c>
      <x:c r="B5" s="15" t="n">
        <x:v>262000</x:v>
      </x:c>
      <x:c r="C5" t="str">
        <x:v>Market reference</x:v>
      </x:c>
      <x:c r="D5" t="str">
        <x:v>2026-10-09 close</x:v>
      </x:c>
      <x:c r="E5" t="str">
        <x:v>Daily close</x:v>
      </x:c>
    </x:row>
    <x:row r="6">
      <x:c r="A6" t="str">
        <x:v>SOTP central value</x:v>
      </x:c>
      <x:c r="B6" s="18" t="n">
        <x:f>SOTP!B17</x:f>
        <x:v>361785.8937845535</x:v>
      </x:c>
      <x:c r="C6" t="str">
        <x:v>Primary valuation</x:v>
      </x:c>
      <x:c r="D6" t="str">
        <x:v>HBM, server DRAM, commodity memory and NAND</x:v>
      </x:c>
      <x:c r="E6" t="str">
        <x:v>HBM mix / ASP / 2nm</x:v>
      </x:c>
    </x:row>
    <x:row r="7">
      <x:c r="A7" t="str">
        <x:v>DCF cross-check</x:v>
      </x:c>
      <x:c r="B7" s="18" t="n">
        <x:f>DCF!B24</x:f>
        <x:v>423484.7385269106</x:v>
      </x:c>
      <x:c r="C7" t="str">
        <x:v>Cash-flow check</x:v>
      </x:c>
      <x:c r="D7" t="str">
        <x:v>Tests CAPEX and cash conversion</x:v>
      </x:c>
      <x:c r="E7" t="str">
        <x:v>CAPEX / FCF</x:v>
      </x:c>
    </x:row>
    <x:row r="8">
      <x:c r="A8" t="str">
        <x:v>Segment PER cross-check</x:v>
      </x:c>
      <x:c r="B8" s="18" t="n">
        <x:f>'Peer PER'!B21</x:f>
        <x:v>326000</x:v>
      </x:c>
      <x:c r="C8" t="str">
        <x:v>Market cross-check</x:v>
      </x:c>
      <x:c r="D8" t="str">
        <x:v>Segment EPS × stated multiple</x:v>
      </x:c>
      <x:c r="E8" t="str">
        <x:v>HBM / commodity EPS / multiple</x:v>
      </x:c>
    </x:row>
    <x:row r="9">
      <x:c r="A9" t="str">
        <x:v>RIM downside</x:v>
      </x:c>
      <x:c r="B9" s="18" t="n">
        <x:f>RIM!B20</x:f>
        <x:v>173443.57213569002</x:v>
      </x:c>
      <x:c r="C9" t="str">
        <x:v>Downside check</x:v>
      </x:c>
      <x:c r="D9" t="str">
        <x:v>ROE fades from memory peak</x:v>
      </x:c>
      <x:c r="E9" t="str">
        <x:v>ROE normalisation</x:v>
      </x:c>
    </x:row>
    <x:row r="10">
      <x:c r="A10" t="str">
        <x:v>Base upside</x:v>
      </x:c>
      <x:c r="B10" s="21" t="n">
        <x:f>B6/B5-1</x:f>
        <x:v>0.38086219001737986</x:v>
      </x:c>
      <x:c r="C10" t="str">
        <x:v>SOTP vs price</x:v>
      </x:c>
      <x:c r="D10" t="str">
        <x:v>Do not average models</x:v>
      </x:c>
      <x:c r="E10" t="str">
        <x:v>All model outputs</x:v>
      </x:c>
    </x:row>
    <x:row r="11">
      <x:c r="A11" t="str">
        <x:v>Conclusion</x:v>
      </x:c>
      <x:c r="B11" s="24" t="str">
        <x:v>SOTP is the center value; confirm 3Q segment detail</x:v>
      </x:c>
      <x:c r="C11" t="str">
        <x:v>Portfolio conclusion</x:v>
      </x:c>
      <x:c r="D11" t="str">
        <x:v>3Q preliminary needs detail</x:v>
      </x:c>
      <x:c r="E11" t="str">
        <x:v>2026-10-29 earnings</x:v>
      </x:c>
    </x:row>
    <x:row r="14">
      <x:c r="A14" s="12" t="str">
        <x:v>Model</x:v>
      </x:c>
      <x:c r="B14" s="12" t="str">
        <x:v>Purpose</x:v>
      </x:c>
      <x:c r="C14" s="12" t="str">
        <x:v>Peer rule</x:v>
      </x:c>
      <x:c r="D14" s="12" t="str">
        <x:v>Output use</x:v>
      </x:c>
      <x:c r="E14" s="12" t="str">
        <x:v>Limitation</x:v>
      </x:c>
    </x:row>
    <x:row r="15">
      <x:c r="A15" s="26" t="str">
        <x:v>SOTP</x:v>
      </x:c>
      <x:c r="B15" s="26" t="str">
        <x:v>Center value</x:v>
      </x:c>
      <x:c r="C15" s="26" t="str">
        <x:v>Segment-specific peers</x:v>
      </x:c>
      <x:c r="D15" s="26" t="str">
        <x:v>Primary</x:v>
      </x:c>
      <x:c r="E15" s="26" t="str">
        <x:v>HBM mix and segment multiple sensitive</x:v>
      </x:c>
    </x:row>
    <x:row r="16">
      <x:c r="A16" s="26" t="str">
        <x:v>DCF</x:v>
      </x:c>
      <x:c r="B16" s="26" t="str">
        <x:v>FCF check</x:v>
      </x:c>
      <x:c r="C16" s="26" t="str">
        <x:v>No peer average</x:v>
      </x:c>
      <x:c r="D16" s="26" t="str">
        <x:v>Cross-check</x:v>
      </x:c>
      <x:c r="E16" s="26" t="str">
        <x:v>CAPEX and terminal value</x:v>
      </x:c>
    </x:row>
    <x:row r="17">
      <x:c r="A17" s="26" t="str">
        <x:v>Segment PER</x:v>
      </x:c>
      <x:c r="B17" s="26" t="str">
        <x:v>Market check</x:v>
      </x:c>
      <x:c r="C17" s="26" t="str">
        <x:v>No whole-company peer average</x:v>
      </x:c>
      <x:c r="D17" s="26" t="str">
        <x:v>Cross-check</x:v>
      </x:c>
      <x:c r="E17" s="26" t="str">
        <x:v>Segment EPS normalisation</x:v>
      </x:c>
    </x:row>
    <x:row r="18">
      <x:c r="A18" s="26" t="str">
        <x:v>RIM</x:v>
      </x:c>
      <x:c r="B18" s="26" t="str">
        <x:v>Downside</x:v>
      </x:c>
      <x:c r="C18" s="26" t="str">
        <x:v>Cost of equity and ROE fade</x:v>
      </x:c>
      <x:c r="D18" s="26" t="str">
        <x:v>Downside</x:v>
      </x:c>
      <x:c r="E18" s="26" t="str">
        <x:v>Book growth is high in cycle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5" hidden="0" customWidth="1"/>
    <x:col min="3" max="3" width="14" hidden="0" customWidth="1"/>
    <x:col min="4" max="4" width="16" hidden="0" customWidth="1"/>
    <x:col min="5" max="5" width="14" hidden="0" customWidth="1"/>
    <x:col min="6" max="6" width="16" hidden="0" customWidth="1"/>
    <x:col min="7" max="7" width="50" hidden="0" customWidth="1"/>
    <x:col min="8" max="8" width="25" hidden="0" customWidth="1"/>
  </x:cols>
  <x:sheetData>
    <x:row r="1" ht="34" customHeight="1">
      <x:c r="A1" s="4" t="str">
        <x:v>Actuals &amp; Sources</x:v>
      </x:c>
    </x:row>
    <x:row r="2" ht="24" customHeight="1">
      <x:c r="A2" s="7" t="str">
        <x:v>Hardcoded figures are reported data. Yellow cells are analyst assumptions or market data.</x:v>
      </x:c>
    </x:row>
    <x:row r="4">
      <x:c r="A4" s="12" t="str">
        <x:v>Category</x:v>
      </x:c>
      <x:c r="B4" s="12" t="str">
        <x:v>Metric</x:v>
      </x:c>
      <x:c r="C4" s="12" t="str">
        <x:v>Period</x:v>
      </x:c>
      <x:c r="D4" s="12" t="str">
        <x:v>Value</x:v>
      </x:c>
      <x:c r="E4" s="12" t="str">
        <x:v>Unit</x:v>
      </x:c>
      <x:c r="F4" s="12" t="str">
        <x:v>As of</x:v>
      </x:c>
      <x:c r="G4" s="12" t="str">
        <x:v>Source</x:v>
      </x:c>
      <x:c r="H4" s="12" t="str">
        <x:v>Note</x:v>
      </x:c>
    </x:row>
    <x:row r="5">
      <x:c r="A5" s="26" t="str">
        <x:v>Actual</x:v>
      </x:c>
      <x:c r="B5" s="26" t="str">
        <x:v>Revenue</x:v>
      </x:c>
      <x:c r="C5" s="26" t="str">
        <x:v>1Q26</x:v>
      </x:c>
      <x:c r="D5" s="29" t="n">
        <x:v>133900</x:v>
      </x:c>
      <x:c r="E5" s="26" t="str">
        <x:v>KRW bn</x:v>
      </x:c>
      <x:c r="F5" s="26" t="str">
        <x:v>2026-04-30</x:v>
      </x:c>
      <x:c r="G5" s="26" t="str">
        <x:v>Samsung 1Q26 presentation</x:v>
      </x:c>
      <x:c r="H5" s="26" t="str">
        <x:v>Consolidated</x:v>
      </x:c>
    </x:row>
    <x:row r="6">
      <x:c r="A6" s="26" t="str">
        <x:v>Actual</x:v>
      </x:c>
      <x:c r="B6" s="26" t="str">
        <x:v>Operating profit</x:v>
      </x:c>
      <x:c r="C6" s="26" t="str">
        <x:v>1Q26</x:v>
      </x:c>
      <x:c r="D6" s="29" t="n">
        <x:v>57200</x:v>
      </x:c>
      <x:c r="E6" s="26" t="str">
        <x:v>KRW bn</x:v>
      </x:c>
      <x:c r="F6" s="26" t="str">
        <x:v>2026-04-30</x:v>
      </x:c>
      <x:c r="G6" s="26" t="str">
        <x:v>Samsung 1Q26 presentation</x:v>
      </x:c>
      <x:c r="H6" s="26" t="str">
        <x:v>Consolidated</x:v>
      </x:c>
    </x:row>
    <x:row r="7">
      <x:c r="A7" s="26" t="str">
        <x:v>Actual</x:v>
      </x:c>
      <x:c r="B7" s="26" t="str">
        <x:v>Net profit</x:v>
      </x:c>
      <x:c r="C7" s="26" t="str">
        <x:v>1Q26</x:v>
      </x:c>
      <x:c r="D7" s="29" t="n">
        <x:v>47200</x:v>
      </x:c>
      <x:c r="E7" s="26" t="str">
        <x:v>KRW bn</x:v>
      </x:c>
      <x:c r="F7" s="26" t="str">
        <x:v>2026-04-30</x:v>
      </x:c>
      <x:c r="G7" s="26" t="str">
        <x:v>Samsung 1Q26 presentation</x:v>
      </x:c>
      <x:c r="H7" s="26" t="str">
        <x:v>Consolidated</x:v>
      </x:c>
    </x:row>
    <x:row r="8">
      <x:c r="A8" s="26" t="str">
        <x:v>Actual</x:v>
      </x:c>
      <x:c r="B8" s="26" t="str">
        <x:v>Revenue</x:v>
      </x:c>
      <x:c r="C8" s="26" t="str">
        <x:v>2Q26</x:v>
      </x:c>
      <x:c r="D8" s="29" t="n">
        <x:v>171500</x:v>
      </x:c>
      <x:c r="E8" s="26" t="str">
        <x:v>KRW bn</x:v>
      </x:c>
      <x:c r="F8" s="26" t="str">
        <x:v>2026-07-30</x:v>
      </x:c>
      <x:c r="G8" s="26" t="str">
        <x:v>Samsung 2Q26 results</x:v>
      </x:c>
      <x:c r="H8" s="26" t="str">
        <x:v>Consolidated</x:v>
      </x:c>
    </x:row>
    <x:row r="9">
      <x:c r="A9" s="26" t="str">
        <x:v>Actual</x:v>
      </x:c>
      <x:c r="B9" s="26" t="str">
        <x:v>Operating profit</x:v>
      </x:c>
      <x:c r="C9" s="26" t="str">
        <x:v>2Q26</x:v>
      </x:c>
      <x:c r="D9" s="29" t="n">
        <x:v>89500</x:v>
      </x:c>
      <x:c r="E9" s="26" t="str">
        <x:v>KRW bn</x:v>
      </x:c>
      <x:c r="F9" s="26" t="str">
        <x:v>2026-07-30</x:v>
      </x:c>
      <x:c r="G9" s="26" t="str">
        <x:v>Samsung 2Q26 results</x:v>
      </x:c>
      <x:c r="H9" s="26" t="str">
        <x:v>Consolidated</x:v>
      </x:c>
    </x:row>
    <x:row r="10">
      <x:c r="A10" s="26" t="str">
        <x:v>Actual</x:v>
      </x:c>
      <x:c r="B10" s="26" t="str">
        <x:v>Net profit</x:v>
      </x:c>
      <x:c r="C10" s="26" t="str">
        <x:v>2Q26</x:v>
      </x:c>
      <x:c r="D10" s="29" t="n">
        <x:v>71600</x:v>
      </x:c>
      <x:c r="E10" s="26" t="str">
        <x:v>KRW bn</x:v>
      </x:c>
      <x:c r="F10" s="26" t="str">
        <x:v>2026-07-30</x:v>
      </x:c>
      <x:c r="G10" s="26" t="str">
        <x:v>Samsung 2Q26 presentation</x:v>
      </x:c>
      <x:c r="H10" s="26" t="str">
        <x:v>Consolidated</x:v>
      </x:c>
    </x:row>
    <x:row r="11">
      <x:c r="A11" s="26" t="str">
        <x:v>Actual</x:v>
      </x:c>
      <x:c r="B11" s="26" t="str">
        <x:v>DS revenue</x:v>
      </x:c>
      <x:c r="C11" s="26" t="str">
        <x:v>2Q26</x:v>
      </x:c>
      <x:c r="D11" s="29" t="n">
        <x:v>127500</x:v>
      </x:c>
      <x:c r="E11" s="26" t="str">
        <x:v>KRW bn</x:v>
      </x:c>
      <x:c r="F11" s="26" t="str">
        <x:v>2026-07-30</x:v>
      </x:c>
      <x:c r="G11" s="26" t="str">
        <x:v>Samsung 2Q26 presentation</x:v>
      </x:c>
      <x:c r="H11" s="26" t="str">
        <x:v>Segment</x:v>
      </x:c>
    </x:row>
    <x:row r="12">
      <x:c r="A12" s="26" t="str">
        <x:v>Actual</x:v>
      </x:c>
      <x:c r="B12" s="26" t="str">
        <x:v>DS operating profit</x:v>
      </x:c>
      <x:c r="C12" s="26" t="str">
        <x:v>2Q26</x:v>
      </x:c>
      <x:c r="D12" s="29" t="n">
        <x:v>89200</x:v>
      </x:c>
      <x:c r="E12" s="26" t="str">
        <x:v>KRW bn</x:v>
      </x:c>
      <x:c r="F12" s="26" t="str">
        <x:v>2026-07-30</x:v>
      </x:c>
      <x:c r="G12" s="26" t="str">
        <x:v>Samsung 2Q26 presentation</x:v>
      </x:c>
      <x:c r="H12" s="26" t="str">
        <x:v>Segment</x:v>
      </x:c>
    </x:row>
    <x:row r="13">
      <x:c r="A13" s="26" t="str">
        <x:v>Actual</x:v>
      </x:c>
      <x:c r="B13" s="26" t="str">
        <x:v>Cash</x:v>
      </x:c>
      <x:c r="C13" s="26" t="str">
        <x:v>2Q26</x:v>
      </x:c>
      <x:c r="D13" s="29" t="n">
        <x:v>189999</x:v>
      </x:c>
      <x:c r="E13" s="26" t="str">
        <x:v>KRW bn</x:v>
      </x:c>
      <x:c r="F13" s="26" t="str">
        <x:v>2026-07-30</x:v>
      </x:c>
      <x:c r="G13" s="26" t="str">
        <x:v>Samsung 2Q26 presentation</x:v>
      </x:c>
      <x:c r="H13" s="26" t="str">
        <x:v>Financial position</x:v>
      </x:c>
    </x:row>
    <x:row r="14">
      <x:c r="A14" s="26" t="str">
        <x:v>Actual</x:v>
      </x:c>
      <x:c r="B14" s="26" t="str">
        <x:v>Debt</x:v>
      </x:c>
      <x:c r="C14" s="26" t="str">
        <x:v>2Q26</x:v>
      </x:c>
      <x:c r="D14" s="29" t="n">
        <x:v>22409</x:v>
      </x:c>
      <x:c r="E14" s="26" t="str">
        <x:v>KRW bn</x:v>
      </x:c>
      <x:c r="F14" s="26" t="str">
        <x:v>2026-07-30</x:v>
      </x:c>
      <x:c r="G14" s="26" t="str">
        <x:v>Samsung 2Q26 presentation</x:v>
      </x:c>
      <x:c r="H14" s="26" t="str">
        <x:v>Financial position</x:v>
      </x:c>
    </x:row>
    <x:row r="15">
      <x:c r="A15" s="26" t="str">
        <x:v>Preliminary</x:v>
      </x:c>
      <x:c r="B15" s="26" t="str">
        <x:v>Revenue</x:v>
      </x:c>
      <x:c r="C15" s="26" t="str">
        <x:v>3Q26</x:v>
      </x:c>
      <x:c r="D15" s="29" t="n">
        <x:v>195000</x:v>
      </x:c>
      <x:c r="E15" s="26" t="str">
        <x:v>KRW bn</x:v>
      </x:c>
      <x:c r="F15" s="26" t="str">
        <x:v>2026-10-07</x:v>
      </x:c>
      <x:c r="G15" s="26" t="str">
        <x:v>Samsung preliminary release</x:v>
      </x:c>
      <x:c r="H15" s="26" t="str">
        <x:v>Detailed earnings pending</x:v>
      </x:c>
    </x:row>
    <x:row r="16">
      <x:c r="A16" s="26" t="str">
        <x:v>Preliminary</x:v>
      </x:c>
      <x:c r="B16" s="26" t="str">
        <x:v>Operating profit</x:v>
      </x:c>
      <x:c r="C16" s="26" t="str">
        <x:v>3Q26</x:v>
      </x:c>
      <x:c r="D16" s="29" t="n">
        <x:v>107400</x:v>
      </x:c>
      <x:c r="E16" s="26" t="str">
        <x:v>KRW bn</x:v>
      </x:c>
      <x:c r="F16" s="26" t="str">
        <x:v>2026-10-07</x:v>
      </x:c>
      <x:c r="G16" s="26" t="str">
        <x:v>Samsung preliminary release</x:v>
      </x:c>
      <x:c r="H16" s="26" t="str">
        <x:v>Detailed earnings pending</x:v>
      </x:c>
    </x:row>
    <x:row r="17">
      <x:c r="A17" s="26" t="str">
        <x:v>Market</x:v>
      </x:c>
      <x:c r="B17" s="26" t="str">
        <x:v>Closing price</x:v>
      </x:c>
      <x:c r="C17" s="26" t="str">
        <x:v>2026-10-09</x:v>
      </x:c>
      <x:c r="D17" s="32" t="n">
        <x:v>262000</x:v>
      </x:c>
      <x:c r="E17" s="26" t="str">
        <x:v>KRW/share</x:v>
      </x:c>
      <x:c r="F17" s="26" t="str">
        <x:v>2026-10-09</x:v>
      </x:c>
      <x:c r="G17" s="26" t="str">
        <x:v>Yahoo Finance</x:v>
      </x:c>
      <x:c r="H17" s="26" t="str">
        <x:v>Closing price</x:v>
      </x:c>
    </x:row>
    <x:row r="20">
      <x:c r="A20" s="12" t="str">
        <x:v>Source links</x:v>
      </x:c>
      <x:c r="B20" s="12" t="str">
        <x:v>URL</x:v>
      </x:c>
    </x:row>
    <x:row r="21">
      <x:c r="A21" s="26" t="str">
        <x:v>Samsung 2Q26</x:v>
      </x:c>
      <x:c r="B21" s="26" t="str">
        <x:v>https://news.samsung.com/global/samsung-electronics-announces-second-quarter-2026-results</x:v>
      </x:c>
    </x:row>
    <x:row r="22">
      <x:c r="A22" s="26" t="str">
        <x:v>Samsung 2Q26 presentation</x:v>
      </x:c>
      <x:c r="B22" s="26" t="str">
        <x:v>https://images.samsung.com/is/content/samsung/assets/global/ir/docs/2026_2Q_conference_eng.pdf</x:v>
      </x:c>
    </x:row>
    <x:row r="23">
      <x:c r="A23" s="26" t="str">
        <x:v>Samsung 1Q26 presentation</x:v>
      </x:c>
      <x:c r="B23" s="26" t="str">
        <x:v>https://images.samsung.com/is/content/samsung/assets/global/ir/docs/2026_1Q_conference_eng.pdf</x:v>
      </x:c>
    </x:row>
    <x:row r="24">
      <x:c r="A24" s="26" t="str">
        <x:v>3Q26 preliminary</x:v>
      </x:c>
      <x:c r="B24" s="26" t="str">
        <x:v>https://www.reuters.com/world/asia-pacific/samsung-q3-profit-jumps-783-ai-memory-boom-lifts-chip-earnings-2026-10-07/</x:v>
      </x:c>
    </x:row>
    <x:row r="26" ht="22" customHeight="1">
      <x:c r="A26" s="51" t="str">
        <x:v>Vintage and evidence labels</x:v>
      </x:c>
      <x:c r="B26" s="51"/>
      <x:c r="C26" s="51"/>
      <x:c r="D26" s="51"/>
      <x:c r="E26" s="51"/>
      <x:c r="F26" s="51"/>
    </x:row>
    <x:row r="27" ht="34" customHeight="1">
      <x:c r="A27" s="55" t="str">
        <x:v>Actual / preliminary</x:v>
      </x:c>
      <x:c r="B27" s="55" t="str">
        <x:v>3Q26 revenue and operating profit remain preliminary until the company releases confirmed results and segment details.</x:v>
      </x:c>
      <x:c r="C27" s="55"/>
      <x:c r="D27" s="55"/>
      <x:c r="E27" s="55"/>
      <x:c r="F27" s="55"/>
    </x:row>
    <x:row r="28" ht="34" customHeight="1">
      <x:c r="A28" s="59" t="str">
        <x:v>Market data</x:v>
      </x:c>
      <x:c r="B28" s="59" t="str">
        <x:v>Keep Samsung and all peer prices, FX, EPS period, shares and net cash/debt on matched dates.</x:v>
      </x:c>
      <x:c r="C28" s="59"/>
      <x:c r="D28" s="59"/>
      <x:c r="E28" s="59"/>
      <x:c r="F28" s="59"/>
    </x:row>
    <x:row r="29" ht="34" customHeight="1">
      <x:c r="A29" s="55" t="str">
        <x:v>Forecast labels</x:v>
      </x:c>
      <x:c r="B29" s="55" t="str">
        <x:v>Separate management outlook, consensus provider/date, analyst assumptions and scenario cases.</x:v>
      </x:c>
      <x:c r="C29" s="55"/>
      <x:c r="D29" s="55"/>
      <x:c r="E29" s="55"/>
      <x:c r="F29" s="55"/>
    </x:row>
    <x:row r="30" ht="34" customHeight="1">
      <x:c r="A30" s="59" t="str">
        <x:v>Version bridge</x:v>
      </x:c>
      <x:c r="B30" s="59" t="str">
        <x:v>Preserve prior vintage and attribute value changes to actuals, operating forecast, peer inputs and valuation parameters.</x:v>
      </x:c>
      <x:c r="C30" s="59"/>
      <x:c r="D30" s="59"/>
      <x:c r="E30" s="59"/>
      <x:c r="F30" s="59"/>
    </x:row>
    <x:row r="31" ht="34" customHeight="1">
      <x:c r="A31" s="55" t="str">
        <x:v>Refresh policy</x:v>
      </x:c>
      <x:c r="B31" s="55" t="str">
        <x:v>See research/VALUATION_VINTAGE_POLICY.md; do not overwrite source rows with estimates.</x:v>
      </x:c>
      <x:c r="C31" s="55"/>
      <x:c r="D31" s="55"/>
      <x:c r="E31" s="55"/>
      <x:c r="F31" s="55"/>
    </x:row>
  </x:sheetData>
  <x:mergeCells>
    <x:mergeCell ref="A1:H1"/>
    <x:mergeCell ref="A2:H2"/>
    <x:mergeCell ref="A26:F26"/>
    <x:mergeCell ref="B27:F27"/>
    <x:mergeCell ref="B28:F28"/>
    <x:mergeCell ref="B29:F29"/>
    <x:mergeCell ref="B30:F30"/>
    <x:mergeCell ref="B31:F3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20" hidden="0" customWidth="1"/>
    <x:col min="5" max="5" width="42" hidden="0" customWidth="1"/>
    <x:col min="6" max="6" width="26" hidden="0" customWidth="1"/>
    <x:col min="7" max="7" width="16" hidden="0" customWidth="1"/>
    <x:col min="8" max="8" width="16" hidden="0" customWidth="1"/>
  </x:cols>
  <x:sheetData>
    <x:row r="1" ht="34" customHeight="1">
      <x:c r="A1" s="4" t="str">
        <x:v>SOTP Valuation</x:v>
      </x:c>
    </x:row>
    <x:row r="2" ht="24" customHeight="1">
      <x:c r="A2" s="7" t="str">
        <x:v>DS memory, Foundry/S.LSI, DX, SDC and Harman receive different multiples and peer references.</x:v>
      </x:c>
    </x:row>
    <x:row r="4">
      <x:c r="A4" s="12" t="str">
        <x:v>Segment</x:v>
      </x:c>
      <x:c r="B4" s="12" t="str">
        <x:v>2027E EBIT</x:v>
      </x:c>
      <x:c r="C4" s="12" t="str">
        <x:v>EV/EBIT</x:v>
      </x:c>
      <x:c r="D4" s="12" t="str">
        <x:v>Enterprise value</x:v>
      </x:c>
      <x:c r="E4" s="12" t="str">
        <x:v>Peer / rationale</x:v>
      </x:c>
      <x:c r="F4" s="12" t="str">
        <x:v>Update trigger</x:v>
      </x:c>
    </x:row>
    <x:row r="5">
      <x:c r="A5" s="26" t="str">
        <x:v>DS Memory</x:v>
      </x:c>
      <x:c r="B5" s="36" t="n">
        <x:f>'Memory Premium'!B5</x:f>
        <x:v>250000</x:v>
      </x:c>
      <x:c r="C5" s="36" t="n">
        <x:f>'Memory Premium'!B24</x:f>
        <x:v>6.23</x:v>
      </x:c>
      <x:c r="D5" s="29" t="n">
        <x:f>B5*C5</x:f>
        <x:v>1557500</x:v>
      </x:c>
      <x:c r="E5" s="26" t="str">
        <x:v>HBM, server DRAM, client DRAM and NAND are valued separately</x:v>
      </x:c>
      <x:c r="F5" s="26" t="str">
        <x:v>HBM4, ASP, server DRAM</x:v>
      </x:c>
    </x:row>
    <x:row r="6">
      <x:c r="A6" s="26" t="str">
        <x:v>Foundry &amp; S.LSI</x:v>
      </x:c>
      <x:c r="B6" s="37" t="n">
        <x:v>8000</x:v>
      </x:c>
      <x:c r="C6" s="37" t="n">
        <x:v>2</x:v>
      </x:c>
      <x:c r="D6" s="29" t="n">
        <x:f>B6*C6</x:f>
        <x:v>16000</x:v>
      </x:c>
      <x:c r="E6" s="26" t="str">
        <x:v>TSMC technology/CAPEX reference; loss risk remains</x:v>
      </x:c>
      <x:c r="F6" s="26" t="str">
        <x:v>2nm yield, design wins</x:v>
      </x:c>
    </x:row>
    <x:row r="7">
      <x:c r="A7" s="26" t="str">
        <x:v>DX</x:v>
      </x:c>
      <x:c r="B7" s="37" t="n">
        <x:v>20000</x:v>
      </x:c>
      <x:c r="C7" s="37" t="n">
        <x:v>8</x:v>
      </x:c>
      <x:c r="D7" s="29" t="n">
        <x:f>B7*C7</x:f>
        <x:v>160000</x:v>
      </x:c>
      <x:c r="E7" s="26" t="str">
        <x:v>Device normalised earnings; Apple/Xiaomi only demand context</x:v>
      </x:c>
      <x:c r="F7" s="26" t="str">
        <x:v>Component costs, mobile mix</x:v>
      </x:c>
    </x:row>
    <x:row r="8">
      <x:c r="A8" s="26" t="str">
        <x:v>SDC</x:v>
      </x:c>
      <x:c r="B8" s="37" t="n">
        <x:v>6000</x:v>
      </x:c>
      <x:c r="C8" s="37" t="n">
        <x:v>6</x:v>
      </x:c>
      <x:c r="D8" s="29" t="n">
        <x:f>B8*C8</x:f>
        <x:v>36000</x:v>
      </x:c>
      <x:c r="E8" s="26" t="str">
        <x:v>OLED cycle and capacity normalisation</x:v>
      </x:c>
      <x:c r="F8" s="26" t="str">
        <x:v>IT OLED utilisation</x:v>
      </x:c>
    </x:row>
    <x:row r="9">
      <x:c r="A9" s="26" t="str">
        <x:v>Harman</x:v>
      </x:c>
      <x:c r="B9" s="37" t="n">
        <x:v>5000</x:v>
      </x:c>
      <x:c r="C9" s="37" t="n">
        <x:v>8</x:v>
      </x:c>
      <x:c r="D9" s="29" t="n">
        <x:f>B9*C9</x:f>
        <x:v>40000</x:v>
      </x:c>
      <x:c r="E9" s="26" t="str">
        <x:v>Auto/audio secular mix</x:v>
      </x:c>
      <x:c r="F9" s="26" t="str">
        <x:v>Auto order backlog</x:v>
      </x:c>
    </x:row>
    <x:row r="12">
      <x:c r="A12" s="12" t="str">
        <x:v>Bridge</x:v>
      </x:c>
      <x:c r="B12" s="12" t="str">
        <x:v>Value</x:v>
      </x:c>
    </x:row>
    <x:row r="13">
      <x:c r="A13" t="str">
        <x:v>Enterprise value</x:v>
      </x:c>
      <x:c r="B13" s="35" t="n">
        <x:f>SUM(D5:D9)</x:f>
        <x:v>1809500</x:v>
      </x:c>
    </x:row>
    <x:row r="14">
      <x:c r="A14" t="str">
        <x:v>2027E net cash (analyst scenario; not reported)</x:v>
      </x:c>
      <x:c r="B14" s="15" t="n">
        <x:v>350000</x:v>
      </x:c>
    </x:row>
    <x:row r="15">
      <x:c r="A15" t="str">
        <x:v>Equity value</x:v>
      </x:c>
      <x:c r="B15" s="35" t="n">
        <x:f>B13+B14</x:f>
        <x:v>2159500</x:v>
      </x:c>
    </x:row>
    <x:row r="16">
      <x:c r="A16" t="str">
        <x:v>Diluted shares (mn)</x:v>
      </x:c>
      <x:c r="B16" s="35" t="n">
        <x:v>5969</x:v>
      </x:c>
    </x:row>
    <x:row r="17">
      <x:c r="A17" t="str">
        <x:v>Value per share</x:v>
      </x:c>
      <x:c r="B17" s="35" t="n">
        <x:f>B15*1000/B16</x:f>
        <x:v>361785.8937845535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20" hidden="0" customWidth="1"/>
    <x:col min="7" max="7" width="44" hidden="0" customWidth="1"/>
    <x:col min="8" max="8" width="18" hidden="0" customWidth="1"/>
  </x:cols>
  <x:sheetData>
    <x:row r="1" ht="34" customHeight="1">
      <x:c r="A1" s="4" t="str">
        <x:v>Memory Premium Build</x:v>
      </x:c>
    </x:row>
    <x:row r="2" ht="24" customHeight="1">
      <x:c r="A2" s="7" t="str">
        <x:v>The HBM premium is earned through mix, qualification and supply discipline. Commodity memory receives no blanket premium.</x:v>
      </x:c>
    </x:row>
    <x:row r="4">
      <x:c r="A4" s="12" t="str">
        <x:v>2027E DS Memory EBIT build</x:v>
      </x:c>
      <x:c r="B4" s="12" t="str">
        <x:v>Value</x:v>
      </x:c>
      <x:c r="C4" s="12" t="str">
        <x:v>Treatment</x:v>
      </x:c>
      <x:c r="D4" s="12" t="str">
        <x:v>Note</x:v>
      </x:c>
    </x:row>
    <x:row r="5">
      <x:c r="A5" s="26" t="str">
        <x:v>DS Memory EBIT</x:v>
      </x:c>
      <x:c r="B5" s="32" t="n">
        <x:v>250000</x:v>
      </x:c>
      <x:c r="C5" s="26" t="str">
        <x:v>Input</x:v>
      </x:c>
      <x:c r="D5" s="26" t="str">
        <x:v>Feeds the SOTP memory valuation</x:v>
      </x:c>
    </x:row>
    <x:row r="6">
      <x:c r="A6" s="26" t="str"/>
      <x:c r="B6" s="26" t="str"/>
      <x:c r="C6" s="26" t="str"/>
      <x:c r="D6" s="26" t="str"/>
    </x:row>
    <x:row r="7">
      <x:c r="A7" s="26" t="str">
        <x:v>HBM EBIT mix</x:v>
      </x:c>
      <x:c r="B7" s="40" t="n">
        <x:v>0.26</x:v>
      </x:c>
      <x:c r="C7" s="26" t="str">
        <x:v>Input</x:v>
      </x:c>
      <x:c r="D7" s="26" t="str">
        <x:v>High-bandwidth memory and customer-qualification profit pool</x:v>
      </x:c>
    </x:row>
    <x:row r="8">
      <x:c r="A8" s="26" t="str">
        <x:v>Server DRAM EBIT mix</x:v>
      </x:c>
      <x:c r="B8" s="40" t="n">
        <x:v>0.34</x:v>
      </x:c>
      <x:c r="C8" s="26" t="str">
        <x:v>Input</x:v>
      </x:c>
      <x:c r="D8" s="26" t="str">
        <x:v>AI server and enterprise DRAM exposure</x:v>
      </x:c>
    </x:row>
    <x:row r="9">
      <x:c r="A9" s="26" t="str">
        <x:v>Client/mobile DRAM EBIT mix</x:v>
      </x:c>
      <x:c r="B9" s="40" t="n">
        <x:v>0.22</x:v>
      </x:c>
      <x:c r="C9" s="26" t="str">
        <x:v>Input</x:v>
      </x:c>
      <x:c r="D9" s="26" t="str">
        <x:v>Shorter-duration commodity exposure</x:v>
      </x:c>
    </x:row>
    <x:row r="10">
      <x:c r="A10" s="26" t="str">
        <x:v>NAND EBIT mix</x:v>
      </x:c>
      <x:c r="B10" s="40" t="n">
        <x:v>0.14</x:v>
      </x:c>
      <x:c r="C10" s="26" t="str">
        <x:v>Input</x:v>
      </x:c>
      <x:c r="D10" s="26" t="str">
        <x:v>More elastic supply and lower visibility</x:v>
      </x:c>
    </x:row>
    <x:row r="11">
      <x:c r="A11" s="26" t="str">
        <x:v>Other memory EBIT mix</x:v>
      </x:c>
      <x:c r="B11" s="40" t="n">
        <x:v>0.04</x:v>
      </x:c>
      <x:c r="C11" s="26" t="str">
        <x:v>Input</x:v>
      </x:c>
      <x:c r="D11" s="26" t="str">
        <x:v>Other products and adjustments</x:v>
      </x:c>
    </x:row>
    <x:row r="12">
      <x:c r="A12" s="26" t="str">
        <x:v>Mix check</x:v>
      </x:c>
      <x:c r="B12" s="41" t="n">
        <x:f>SUM(B7:B11)</x:f>
        <x:v>1</x:v>
      </x:c>
      <x:c r="C12" s="26" t="str">
        <x:v>Formula</x:v>
      </x:c>
      <x:c r="D12" s="26" t="str">
        <x:v>Must equal 100.0%</x:v>
      </x:c>
    </x:row>
    <x:row r="15">
      <x:c r="A15" s="12" t="str">
        <x:v>Product pool</x:v>
      </x:c>
      <x:c r="B15" s="12" t="str">
        <x:v>2027E EBIT</x:v>
      </x:c>
      <x:c r="C15" s="12" t="str">
        <x:v>Base cycle x</x:v>
      </x:c>
      <x:c r="D15" s="12" t="str">
        <x:v>Incremental premium / discount</x:v>
      </x:c>
      <x:c r="E15" s="12" t="str">
        <x:v>Final x</x:v>
      </x:c>
      <x:c r="F15" s="12" t="str">
        <x:v>Enterprise value</x:v>
      </x:c>
      <x:c r="G15" s="12" t="str">
        <x:v>Why this multiple changes</x:v>
      </x:c>
      <x:c r="H15" s="12" t="str">
        <x:v>Peer evidence</x:v>
      </x:c>
    </x:row>
    <x:row r="16">
      <x:c r="A16" s="26" t="str">
        <x:v>HBM</x:v>
      </x:c>
      <x:c r="B16" s="44" t="n">
        <x:f>$B$5*B7</x:f>
        <x:v>65000</x:v>
      </x:c>
      <x:c r="C16" s="45" t="n">
        <x:v>5.5</x:v>
      </x:c>
      <x:c r="D16" s="45" t="n">
        <x:v>3.5</x:v>
      </x:c>
      <x:c r="E16" s="46" t="n">
        <x:f>C16+D16</x:f>
        <x:v>9</x:v>
      </x:c>
      <x:c r="F16" s="46" t="n">
        <x:f>B16*E16</x:f>
        <x:v>585000</x:v>
      </x:c>
      <x:c r="G16" s="26" t="str">
        <x:v>+1.0 duration, +0.8 scarcity, +0.9 qualification, +0.8 platform mix</x:v>
      </x:c>
      <x:c r="H16" s="26" t="str">
        <x:v>SK hynix and Micron; HBM4 scale-up and HBM4E samples</x:v>
      </x:c>
    </x:row>
    <x:row r="17">
      <x:c r="A17" s="26" t="str">
        <x:v>Server DRAM</x:v>
      </x:c>
      <x:c r="B17" s="44" t="n">
        <x:f>$B$5*B8</x:f>
        <x:v>85000</x:v>
      </x:c>
      <x:c r="C17" s="45" t="n">
        <x:v>5.5</x:v>
      </x:c>
      <x:c r="D17" s="45" t="n">
        <x:v>1.5</x:v>
      </x:c>
      <x:c r="E17" s="46" t="n">
        <x:f>C17+D17</x:f>
        <x:v>7</x:v>
      </x:c>
      <x:c r="F17" s="46" t="n">
        <x:f>B17*E17</x:f>
        <x:v>595000</x:v>
      </x:c>
      <x:c r="G17" s="26" t="str">
        <x:v>+0.8 AI-server demand, +0.7 supply discipline</x:v>
      </x:c>
      <x:c r="H17" s="26" t="str">
        <x:v>SK hynix and Micron server DRAM economics</x:v>
      </x:c>
    </x:row>
    <x:row r="18">
      <x:c r="A18" s="26" t="str">
        <x:v>Client/mobile DRAM</x:v>
      </x:c>
      <x:c r="B18" s="44" t="n">
        <x:f>$B$5*B9</x:f>
        <x:v>55000</x:v>
      </x:c>
      <x:c r="C18" s="45" t="n">
        <x:v>5.5</x:v>
      </x:c>
      <x:c r="D18" s="45" t="n">
        <x:v>-1</x:v>
      </x:c>
      <x:c r="E18" s="46" t="n">
        <x:f>C18+D18</x:f>
        <x:v>4.5</x:v>
      </x:c>
      <x:c r="F18" s="46" t="n">
        <x:f>B18*E18</x:f>
        <x:v>247500</x:v>
      </x:c>
      <x:c r="G18" s="26" t="str">
        <x:v>-0.5 shorter demand visibility, -0.5 commodity exposure</x:v>
      </x:c>
      <x:c r="H18" s="26" t="str">
        <x:v>Memory peers; mobile-cycle exposure</x:v>
      </x:c>
    </x:row>
    <x:row r="19">
      <x:c r="A19" s="26" t="str">
        <x:v>NAND</x:v>
      </x:c>
      <x:c r="B19" s="44" t="n">
        <x:f>$B$5*B10</x:f>
        <x:v>35000</x:v>
      </x:c>
      <x:c r="C19" s="45" t="n">
        <x:v>5.5</x:v>
      </x:c>
      <x:c r="D19" s="45" t="n">
        <x:v>-2.5</x:v>
      </x:c>
      <x:c r="E19" s="46" t="n">
        <x:f>C19+D19</x:f>
        <x:v>3</x:v>
      </x:c>
      <x:c r="F19" s="46" t="n">
        <x:f>B19*E19</x:f>
        <x:v>105000</x:v>
      </x:c>
      <x:c r="G19" s="26" t="str">
        <x:v>-1.0 lower pricing power, -1.5 supply elasticity</x:v>
      </x:c>
      <x:c r="H19" s="26" t="str">
        <x:v>Micron; NAND earnings volatility</x:v>
      </x:c>
    </x:row>
    <x:row r="20">
      <x:c r="A20" s="26" t="str">
        <x:v>Other memory</x:v>
      </x:c>
      <x:c r="B20" s="44" t="n">
        <x:f>$B$5*B11</x:f>
        <x:v>10000</x:v>
      </x:c>
      <x:c r="C20" s="45" t="n">
        <x:v>5.5</x:v>
      </x:c>
      <x:c r="D20" s="45" t="n">
        <x:v>-3</x:v>
      </x:c>
      <x:c r="E20" s="46" t="n">
        <x:f>C20+D20</x:f>
        <x:v>2.5</x:v>
      </x:c>
      <x:c r="F20" s="46" t="n">
        <x:f>B20*E20</x:f>
        <x:v>25000</x:v>
      </x:c>
      <x:c r="G20" s="26" t="str">
        <x:v>No HBM scarcity or server-demand premium</x:v>
      </x:c>
      <x:c r="H20" s="26" t="str">
        <x:v>Conservative residual treatment</x:v>
      </x:c>
    </x:row>
    <x:row r="23">
      <x:c r="A23" s="12" t="str">
        <x:v>Memory valuation output</x:v>
      </x:c>
      <x:c r="B23" s="12" t="str">
        <x:v>Value</x:v>
      </x:c>
    </x:row>
    <x:row r="24">
      <x:c r="A24" t="str">
        <x:v>Effective EV / EBIT</x:v>
      </x:c>
      <x:c r="B24" s="47" t="n">
        <x:f>B25/$B$5</x:f>
        <x:v>6.23</x:v>
      </x:c>
    </x:row>
    <x:row r="25">
      <x:c r="A25" t="str">
        <x:v>Memory enterprise value</x:v>
      </x:c>
      <x:c r="B25" s="35" t="n">
        <x:f>SUM(F16:F20)</x:f>
        <x:v>1557500</x:v>
      </x:c>
    </x:row>
    <x:row r="27" ht="22" customHeight="1">
      <x:c r="A27" s="51" t="str">
        <x:v>Scenario multiple evidence gates</x:v>
      </x:c>
      <x:c r="B27" s="51"/>
      <x:c r="C27" s="51"/>
      <x:c r="D27" s="51"/>
      <x:c r="E27" s="51"/>
      <x:c r="F27" s="51"/>
    </x:row>
    <x:row r="28" ht="34" customHeight="1">
      <x:c r="A28" s="55" t="str">
        <x:v>Current status</x:v>
      </x:c>
      <x:c r="B28" s="55" t="str">
        <x:v>9.0x / 7.0x / 4.5x / 3.0x / 2.5x are analyst scenario inputs, not observed product fair multiples.</x:v>
      </x:c>
      <x:c r="C28" s="55"/>
      <x:c r="D28" s="55"/>
      <x:c r="E28" s="55"/>
      <x:c r="F28" s="55"/>
    </x:row>
    <x:row r="29" ht="34" customHeight="1">
      <x:c r="A29" s="59" t="str">
        <x:v>HBM evidence</x:v>
      </x:c>
      <x:c r="B29" s="59" t="str">
        <x:v>Require dated qualification, yield, shipments, customer breadth, realized margin and post-capex cash conversion.</x:v>
      </x:c>
      <x:c r="C29" s="59"/>
      <x:c r="D29" s="59"/>
      <x:c r="E29" s="59"/>
      <x:c r="F29" s="59"/>
    </x:row>
    <x:row r="30" ht="34" customHeight="1">
      <x:c r="A30" s="55" t="str">
        <x:v>Commodity memory</x:v>
      </x:c>
      <x:c r="B30" s="55" t="str">
        <x:v>Normalize ASP, inventory, bit supply, utilization and depreciation through a cycle; do not use HBM duration.</x:v>
      </x:c>
      <x:c r="C30" s="55"/>
      <x:c r="D30" s="55"/>
      <x:c r="E30" s="55"/>
      <x:c r="F30" s="55"/>
    </x:row>
    <x:row r="31" ht="34" customHeight="1">
      <x:c r="A31" s="59" t="str">
        <x:v>Capital return</x:v>
      </x:c>
      <x:c r="B31" s="59" t="str">
        <x:v>Assess incremental ROIC and reinvestment needs for each bucket; AI exposure alone earns no uplift.</x:v>
      </x:c>
      <x:c r="C31" s="59"/>
      <x:c r="D31" s="59"/>
      <x:c r="E31" s="59"/>
      <x:c r="F31" s="59"/>
    </x:row>
    <x:row r="32" ht="34" customHeight="1">
      <x:c r="A32" s="55" t="str">
        <x:v>Double-count check</x:v>
      </x:c>
      <x:c r="B32" s="55" t="str">
        <x:v>Higher product EBIT/mix already moves weighted value. Do not add another consolidated HBM premium.</x:v>
      </x:c>
      <x:c r="C32" s="55"/>
      <x:c r="D32" s="55"/>
      <x:c r="E32" s="55"/>
      <x:c r="F32" s="55"/>
    </x:row>
    <x:row r="33" ht="34" customHeight="1">
      <x:c r="A33" s="59" t="str">
        <x:v>Recalibration</x:v>
      </x:c>
      <x:c r="B33" s="59" t="str">
        <x:v>Show evidence, counter-evidence, confidence and next observable trigger. See research/MEMORY_PREMIUM_FRAMEWORK.md.</x:v>
      </x:c>
      <x:c r="C33" s="59"/>
      <x:c r="D33" s="59"/>
      <x:c r="E33" s="59"/>
      <x:c r="F33" s="59"/>
    </x:row>
  </x:sheetData>
  <x:mergeCells>
    <x:mergeCell ref="A1:H1"/>
    <x:mergeCell ref="A2:H2"/>
    <x:mergeCell ref="A27:F27"/>
    <x:mergeCell ref="B28:F28"/>
    <x:mergeCell ref="B29:F29"/>
    <x:mergeCell ref="B30:F30"/>
    <x:mergeCell ref="B31:F31"/>
    <x:mergeCell ref="B32:F32"/>
    <x:mergeCell ref="B33:F3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8" hidden="0" customWidth="1"/>
    <x:col min="8" max="8" width="18" hidden="0" customWidth="1"/>
  </x:cols>
  <x:sheetData>
    <x:row r="1" ht="34" customHeight="1">
      <x:c r="A1" s="4" t="str">
        <x:v>DCF Cross-check</x:v>
      </x:c>
    </x:row>
    <x:row r="2" ht="24" customHeight="1">
      <x:c r="A2" s="7" t="str">
        <x:v>Consolidated-company unlevered DCF; margins include the memory cycle and are cross-checked against segment SOTP.</x:v>
      </x:c>
    </x:row>
    <x:row r="4">
      <x:c r="A4" s="12" t="str">
        <x:v>Metric</x:v>
      </x:c>
      <x:c r="B4" s="12" t="str">
        <x:v>2026E</x:v>
      </x:c>
      <x:c r="C4" s="12" t="str">
        <x:v>2027E</x:v>
      </x:c>
      <x:c r="D4" s="12" t="str">
        <x:v>2028E</x:v>
      </x:c>
      <x:c r="E4" s="12" t="str">
        <x:v>2029E</x:v>
      </x:c>
      <x:c r="F4" s="12" t="str">
        <x:v>2030E</x:v>
      </x:c>
    </x:row>
    <x:row r="5">
      <x:c r="A5" t="str">
        <x:v>Consolidated revenue</x:v>
      </x:c>
      <x:c r="B5" s="34" t="n">
        <x:v>680000</x:v>
      </x:c>
      <x:c r="C5" s="34" t="n">
        <x:v>690000</x:v>
      </x:c>
      <x:c r="D5" s="34" t="n">
        <x:v>710000</x:v>
      </x:c>
      <x:c r="E5" s="34" t="n">
        <x:v>730000</x:v>
      </x:c>
      <x:c r="F5" s="34" t="n">
        <x:v>750000</x:v>
      </x:c>
    </x:row>
    <x:row r="6">
      <x:c r="A6" t="str">
        <x:v>Consolidated EBIT margin</x:v>
      </x:c>
      <x:c r="B6" s="39" t="n">
        <x:v>0.49</x:v>
      </x:c>
      <x:c r="C6" s="39" t="n">
        <x:v>0.41</x:v>
      </x:c>
      <x:c r="D6" s="39" t="n">
        <x:v>0.34</x:v>
      </x:c>
      <x:c r="E6" s="39" t="n">
        <x:v>0.3</x:v>
      </x:c>
      <x:c r="F6" s="39" t="n">
        <x:v>0.28</x:v>
      </x:c>
    </x:row>
    <x:row r="7">
      <x:c r="A7" t="str">
        <x:v>EBIT</x:v>
      </x:c>
      <x:c r="B7" s="35" t="n">
        <x:f>B5*B6</x:f>
        <x:v>333200</x:v>
      </x:c>
      <x:c r="C7" s="35" t="n">
        <x:f>C5*C6</x:f>
        <x:v>282900</x:v>
      </x:c>
      <x:c r="D7" s="35" t="n">
        <x:f>D5*D6</x:f>
        <x:v>241400.00000000003</x:v>
      </x:c>
      <x:c r="E7" s="35" t="n">
        <x:f>E5*E6</x:f>
        <x:v>219000</x:v>
      </x:c>
      <x:c r="F7" s="35" t="n">
        <x:f>F5*F6</x:f>
        <x:v>210000.00000000003</x:v>
      </x:c>
    </x:row>
    <x:row r="8">
      <x:c r="A8" t="str">
        <x:v>Tax rate</x:v>
      </x:c>
      <x:c r="B8" s="39" t="n">
        <x:v>0.24</x:v>
      </x:c>
      <x:c r="C8" s="39" t="n">
        <x:v>0.24</x:v>
      </x:c>
      <x:c r="D8" s="39" t="n">
        <x:v>0.24</x:v>
      </x:c>
      <x:c r="E8" s="39" t="n">
        <x:v>0.24</x:v>
      </x:c>
      <x:c r="F8" s="39" t="n">
        <x:v>0.24</x:v>
      </x:c>
    </x:row>
    <x:row r="9">
      <x:c r="A9" t="str">
        <x:v>NOPAT</x:v>
      </x:c>
      <x:c r="B9" s="35" t="n">
        <x:f>B7*(1-B8)</x:f>
        <x:v>253232</x:v>
      </x:c>
      <x:c r="C9" s="35" t="n">
        <x:f>C7*(1-C8)</x:f>
        <x:v>215004</x:v>
      </x:c>
      <x:c r="D9" s="35" t="n">
        <x:f>D7*(1-D8)</x:f>
        <x:v>183464.00000000003</x:v>
      </x:c>
      <x:c r="E9" s="35" t="n">
        <x:f>E7*(1-E8)</x:f>
        <x:v>166440</x:v>
      </x:c>
      <x:c r="F9" s="35" t="n">
        <x:f>F7*(1-F8)</x:f>
        <x:v>159600.00000000003</x:v>
      </x:c>
    </x:row>
    <x:row r="10">
      <x:c r="A10" t="str">
        <x:v>D&amp;A</x:v>
      </x:c>
      <x:c r="B10" s="34" t="n">
        <x:v>70000</x:v>
      </x:c>
      <x:c r="C10" s="34" t="n">
        <x:v>80000</x:v>
      </x:c>
      <x:c r="D10" s="34" t="n">
        <x:v>85000</x:v>
      </x:c>
      <x:c r="E10" s="34" t="n">
        <x:v>88000</x:v>
      </x:c>
      <x:c r="F10" s="34" t="n">
        <x:v>90000</x:v>
      </x:c>
    </x:row>
    <x:row r="11">
      <x:c r="A11" t="str">
        <x:v>CAPEX</x:v>
      </x:c>
      <x:c r="B11" s="34" t="n">
        <x:v>95000</x:v>
      </x:c>
      <x:c r="C11" s="34" t="n">
        <x:v>110000</x:v>
      </x:c>
      <x:c r="D11" s="34" t="n">
        <x:v>120000</x:v>
      </x:c>
      <x:c r="E11" s="34" t="n">
        <x:v>105000</x:v>
      </x:c>
      <x:c r="F11" s="34" t="n">
        <x:v>95000</x:v>
      </x:c>
    </x:row>
    <x:row r="12">
      <x:c r="A12" t="str">
        <x:v>Change in NWC</x:v>
      </x:c>
      <x:c r="B12" s="34" t="n">
        <x:v>12000</x:v>
      </x:c>
      <x:c r="C12" s="34" t="n">
        <x:v>8000</x:v>
      </x:c>
      <x:c r="D12" s="34" t="n">
        <x:v>7000</x:v>
      </x:c>
      <x:c r="E12" s="34" t="n">
        <x:v>6000</x:v>
      </x:c>
      <x:c r="F12" s="34" t="n">
        <x:v>6000</x:v>
      </x:c>
    </x:row>
    <x:row r="13">
      <x:c r="A13" t="str">
        <x:v>FCFF</x:v>
      </x:c>
      <x:c r="B13" s="35" t="n">
        <x:f>B9+B10-B11-B12</x:f>
        <x:v>216232</x:v>
      </x:c>
      <x:c r="C13" s="35" t="n">
        <x:f>C9+C10-C11-C12</x:f>
        <x:v>177004</x:v>
      </x:c>
      <x:c r="D13" s="35" t="n">
        <x:f>D9+D10-D11-D12</x:f>
        <x:v>141464</x:v>
      </x:c>
      <x:c r="E13" s="35" t="n">
        <x:f>E9+E10-E11-E12</x:f>
        <x:v>143440</x:v>
      </x:c>
      <x:c r="F13" s="35" t="n">
        <x:f>F9+F10-F11-F12</x:f>
        <x:v>148600.00000000003</x:v>
      </x:c>
    </x:row>
    <x:row r="16">
      <x:c r="A16" s="12" t="str">
        <x:v>Assumption</x:v>
      </x:c>
      <x:c r="B16" s="12" t="str">
        <x:v>Value</x:v>
      </x:c>
    </x:row>
    <x:row r="17">
      <x:c r="A17" t="str">
        <x:v>WACC</x:v>
      </x:c>
      <x:c r="B17" s="39" t="n">
        <x:v>0.09</x:v>
      </x:c>
    </x:row>
    <x:row r="18">
      <x:c r="A18" t="str">
        <x:v>Terminal growth</x:v>
      </x:c>
      <x:c r="B18" s="39" t="n">
        <x:v>0.025</x:v>
      </x:c>
    </x:row>
    <x:row r="20">
      <x:c r="A20" s="12" t="str">
        <x:v>DCF result</x:v>
      </x:c>
      <x:c r="B20" s="12" t="str">
        <x:v>Value</x:v>
      </x:c>
    </x:row>
    <x:row r="21">
      <x:c r="A21" t="str">
        <x:v>PV explicit FCFF</x:v>
      </x:c>
      <x:c r="B21" s="35" t="n">
        <x:f>B13/(1+$B$17)^1+C13/(1+$B$17)^2+D13/(1+$B$17)^3+E13/(1+$B$17)^4+F13/(1+$B$17)^5</x:f>
        <x:v>654791.1872820145</x:v>
      </x:c>
    </x:row>
    <x:row r="22">
      <x:c r="A22" t="str">
        <x:v>PV terminal value</x:v>
      </x:c>
      <x:c r="B22" s="35" t="n">
        <x:f>F13*(1+$B$18)/($B$17-$B$18)/(1+$B$17)^5</x:f>
        <x:v>1522989.2169851149</x:v>
      </x:c>
    </x:row>
    <x:row r="23">
      <x:c r="A23" t="str">
        <x:v>Equity value = PV FCFF + PV terminal value + scenario net cash</x:v>
      </x:c>
      <x:c r="B23" s="35" t="n">
        <x:f>B21+B22+SOTP!B14</x:f>
        <x:v>2527780.4042671295</x:v>
      </x:c>
    </x:row>
    <x:row r="24">
      <x:c r="A24" t="str">
        <x:v>Value per share</x:v>
      </x:c>
      <x:c r="B24" s="35" t="n">
        <x:f>B23*1000/5969</x:f>
        <x:v>423484.7385269106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8" hidden="0" customWidth="1"/>
    <x:col min="8" max="8" width="18" hidden="0" customWidth="1"/>
  </x:cols>
  <x:sheetData>
    <x:row r="1" ht="34" customHeight="1">
      <x:c r="A1" s="4" t="str">
        <x:v>Residual Income Model</x:v>
      </x:c>
    </x:row>
    <x:row r="2" ht="24" customHeight="1">
      <x:c r="A2" s="7" t="str">
        <x:v>Downside lens: memory-cycle ROE fades toward the cost of equity.</x:v>
      </x:c>
    </x:row>
    <x:row r="4">
      <x:c r="A4" s="12" t="str">
        <x:v>Metric</x:v>
      </x:c>
      <x:c r="B4" s="12" t="str">
        <x:v>2026E</x:v>
      </x:c>
      <x:c r="C4" s="12" t="str">
        <x:v>2027E</x:v>
      </x:c>
      <x:c r="D4" s="12" t="str">
        <x:v>2028E</x:v>
      </x:c>
      <x:c r="E4" s="12" t="str">
        <x:v>2029E</x:v>
      </x:c>
      <x:c r="F4" s="12" t="str">
        <x:v>2030E</x:v>
      </x:c>
    </x:row>
    <x:row r="5">
      <x:c r="A5" t="str">
        <x:v>Opening equity</x:v>
      </x:c>
      <x:c r="B5" s="15" t="n">
        <x:v>600000</x:v>
      </x:c>
      <x:c r="C5" s="15" t="n">
        <x:v>750000</x:v>
      </x:c>
      <x:c r="D5" s="15" t="n">
        <x:v>880000</x:v>
      </x:c>
      <x:c r="E5" s="15" t="n">
        <x:v>980000</x:v>
      </x:c>
      <x:c r="F5" s="15" t="n">
        <x:v>1060000</x:v>
      </x:c>
    </x:row>
    <x:row r="6">
      <x:c r="A6" t="str">
        <x:v>Net income</x:v>
      </x:c>
      <x:c r="B6" s="15" t="n">
        <x:v>180000</x:v>
      </x:c>
      <x:c r="C6" s="15" t="n">
        <x:v>170000</x:v>
      </x:c>
      <x:c r="D6" s="15" t="n">
        <x:v>140000</x:v>
      </x:c>
      <x:c r="E6" s="15" t="n">
        <x:v>120000</x:v>
      </x:c>
      <x:c r="F6" s="15" t="n">
        <x:v>110000</x:v>
      </x:c>
    </x:row>
    <x:row r="7">
      <x:c r="A7" t="str">
        <x:v>Payout ratio</x:v>
      </x:c>
      <x:c r="B7" s="15" t="n">
        <x:v>0.17</x:v>
      </x:c>
      <x:c r="C7" s="15" t="n">
        <x:v>0.24</x:v>
      </x:c>
      <x:c r="D7" s="15" t="n">
        <x:v>0.3</x:v>
      </x:c>
      <x:c r="E7" s="15" t="n">
        <x:v>0.35</x:v>
      </x:c>
      <x:c r="F7" s="15" t="n">
        <x:v>0.4</x:v>
      </x:c>
    </x:row>
    <x:row r="8">
      <x:c r="A8" t="str">
        <x:v>Dividend / buyback</x:v>
      </x:c>
      <x:c r="B8" s="35" t="n">
        <x:f>B6*B7</x:f>
        <x:v>30600.000000000004</x:v>
      </x:c>
      <x:c r="C8" s="35" t="n">
        <x:f>C6*C7</x:f>
        <x:v>40800</x:v>
      </x:c>
      <x:c r="D8" s="35" t="n">
        <x:f>D6*D7</x:f>
        <x:v>42000</x:v>
      </x:c>
      <x:c r="E8" s="35" t="n">
        <x:f>E6*E7</x:f>
        <x:v>42000</x:v>
      </x:c>
      <x:c r="F8" s="35" t="n">
        <x:f>F6*F7</x:f>
        <x:v>44000</x:v>
      </x:c>
    </x:row>
    <x:row r="9">
      <x:c r="A9" t="str">
        <x:v>Closing equity</x:v>
      </x:c>
      <x:c r="B9" s="35" t="n">
        <x:f>B5+B6-B8</x:f>
        <x:v>749400</x:v>
      </x:c>
      <x:c r="C9" s="35" t="n">
        <x:f>C5+C6-C8</x:f>
        <x:v>879200</x:v>
      </x:c>
      <x:c r="D9" s="35" t="n">
        <x:f>D5+D6-D8</x:f>
        <x:v>978000</x:v>
      </x:c>
      <x:c r="E9" s="35" t="n">
        <x:f>E5+E6-E8</x:f>
        <x:v>1058000</x:v>
      </x:c>
      <x:c r="F9" s="35" t="n">
        <x:f>F5+F6-F8</x:f>
        <x:v>1126000</x:v>
      </x:c>
    </x:row>
    <x:row r="10">
      <x:c r="A10" t="str">
        <x:v>ROE</x:v>
      </x:c>
      <x:c r="B10" s="21" t="n">
        <x:f>B6/B5</x:f>
        <x:v>0.3</x:v>
      </x:c>
      <x:c r="C10" s="21" t="n">
        <x:f>C6/C5</x:f>
        <x:v>0.22666666666666666</x:v>
      </x:c>
      <x:c r="D10" s="21" t="n">
        <x:f>D6/D5</x:f>
        <x:v>0.1590909090909091</x:v>
      </x:c>
      <x:c r="E10" s="21" t="n">
        <x:f>E6/E5</x:f>
        <x:v>0.12244897959183673</x:v>
      </x:c>
      <x:c r="F10" s="21" t="n">
        <x:f>F6/F5</x:f>
        <x:v>0.10377358490566038</x:v>
      </x:c>
    </x:row>
    <x:row r="11">
      <x:c r="A11" t="str">
        <x:v>Cost of equity</x:v>
      </x:c>
      <x:c r="B11" s="39" t="n">
        <x:v>0.1</x:v>
      </x:c>
      <x:c r="C11" s="39" t="n">
        <x:v>0.1</x:v>
      </x:c>
      <x:c r="D11" s="39" t="n">
        <x:v>0.1</x:v>
      </x:c>
      <x:c r="E11" s="39" t="n">
        <x:v>0.1</x:v>
      </x:c>
      <x:c r="F11" s="39" t="n">
        <x:v>0.1</x:v>
      </x:c>
    </x:row>
    <x:row r="12">
      <x:c r="A12" t="str">
        <x:v>Residual income</x:v>
      </x:c>
      <x:c r="B12" s="35" t="n">
        <x:f>B6-B5*B11</x:f>
        <x:v>120000</x:v>
      </x:c>
      <x:c r="C12" s="35" t="n">
        <x:f>C6-C5*C11</x:f>
        <x:v>95000</x:v>
      </x:c>
      <x:c r="D12" s="35" t="n">
        <x:f>D6-D5*D11</x:f>
        <x:v>52000</x:v>
      </x:c>
      <x:c r="E12" s="35" t="n">
        <x:f>E6-E5*E11</x:f>
        <x:v>22000</x:v>
      </x:c>
      <x:c r="F12" s="35" t="n">
        <x:f>F6-F5*F11</x:f>
        <x:v>4000</x:v>
      </x:c>
    </x:row>
    <x:row r="15">
      <x:c r="A15" s="12" t="str">
        <x:v>RIM result</x:v>
      </x:c>
      <x:c r="B15" s="12" t="str">
        <x:v>Value</x:v>
      </x:c>
    </x:row>
    <x:row r="16">
      <x:c r="A16" t="str">
        <x:v>Starting equity</x:v>
      </x:c>
      <x:c r="B16" s="35" t="n">
        <x:v>600000</x:v>
      </x:c>
    </x:row>
    <x:row r="17">
      <x:c r="A17" t="str">
        <x:v>PV residual income</x:v>
      </x:c>
      <x:c r="B17" s="35" t="n">
        <x:f>B12/(1+B11)^1+C12/(1+C11)^2+D12/(1+D11)^3+E12/(1+E11)^4+F12/(1+F11)^5</x:f>
        <x:v>244181.65674227415</x:v>
      </x:c>
    </x:row>
    <x:row r="18">
      <x:c r="A18" t="str">
        <x:v>PV terminal RI</x:v>
      </x:c>
      <x:c r="B18" s="35" t="n">
        <x:f>F9*(0.12-F11)*(1+0.025)/(F11-0.025)/(1+F11)^5</x:f>
        <x:v>191103.0253356595</x:v>
      </x:c>
    </x:row>
    <x:row r="19">
      <x:c r="A19" t="str">
        <x:v>Equity value</x:v>
      </x:c>
      <x:c r="B19" s="35" t="n">
        <x:f>B16+B17+B18</x:f>
        <x:v>1035284.6820779337</x:v>
      </x:c>
    </x:row>
    <x:row r="20">
      <x:c r="A20" t="str">
        <x:v>Value per share</x:v>
      </x:c>
      <x:c r="B20" s="35" t="n">
        <x:f>B19*1000/5969</x:f>
        <x:v>173443.57213569002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6" hidden="0" customWidth="1"/>
    <x:col min="3" max="3" width="25" hidden="0" customWidth="1"/>
    <x:col min="4" max="4" width="25" hidden="0" customWidth="1"/>
    <x:col min="5" max="5" width="25" hidden="0" customWidth="1"/>
    <x:col min="6" max="6" width="38" hidden="0" customWidth="1"/>
    <x:col min="7" max="7" width="18" hidden="0" customWidth="1"/>
    <x:col min="8" max="8" width="18" hidden="0" customWidth="1"/>
  </x:cols>
  <x:sheetData>
    <x:row r="1" ht="34" customHeight="1">
      <x:c r="A1" s="4" t="str">
        <x:v>Segment PER and Selection Rules</x:v>
      </x:c>
    </x:row>
    <x:row r="2" ht="24" customHeight="1">
      <x:c r="A2" s="7" t="str">
        <x:v>No whole-company peer average: each earnings pool uses a stated comparable economic logic.</x:v>
      </x:c>
    </x:row>
    <x:row r="4">
      <x:c r="A4" s="12" t="str">
        <x:v>Company</x:v>
      </x:c>
      <x:c r="B4" s="12" t="str">
        <x:v>Use</x:v>
      </x:c>
      <x:c r="C4" s="12" t="str">
        <x:v>Reason</x:v>
      </x:c>
      <x:c r="D4" s="12" t="str">
        <x:v>Exclusion from whole-company PER</x:v>
      </x:c>
      <x:c r="E4" s="12" t="str">
        <x:v>Evidence</x:v>
      </x:c>
      <x:c r="F4" s="12" t="str">
        <x:v>Reference</x:v>
      </x:c>
    </x:row>
    <x:row r="5">
      <x:c r="A5" s="26" t="str">
        <x:v>SK hynix</x:v>
      </x:c>
      <x:c r="B5" s="26" t="str">
        <x:v>HBM / server DRAM</x:v>
      </x:c>
      <x:c r="C5" s="26" t="str">
        <x:v>DRAM/HBM, own fab, CAPEX and cycle exposure</x:v>
      </x:c>
      <x:c r="D5" s="26" t="str">
        <x:v>No DX/SDC/Harman</x:v>
      </x:c>
      <x:c r="E5" s="26" t="str">
        <x:v>Closest HBM and server-memory economics</x:v>
      </x:c>
      <x:c r="F5" s="26" t="str">
        <x:v>SK hynix IR</x:v>
      </x:c>
    </x:row>
    <x:row r="6">
      <x:c r="A6" s="26" t="str">
        <x:v>Micron</x:v>
      </x:c>
      <x:c r="B6" s="26" t="str">
        <x:v>Commodity DRAM / NAND</x:v>
      </x:c>
      <x:c r="C6" s="26" t="str">
        <x:v>DRAM/NAND and capital intensity</x:v>
      </x:c>
      <x:c r="D6" s="26" t="str">
        <x:v>No consumer/device businesses</x:v>
      </x:c>
      <x:c r="E6" s="26" t="str">
        <x:v>Normalised memory anchor</x:v>
      </x:c>
      <x:c r="F6" s="26" t="str">
        <x:v>Micron IR</x:v>
      </x:c>
    </x:row>
    <x:row r="7">
      <x:c r="A7" s="26" t="str">
        <x:v>TSMC</x:v>
      </x:c>
      <x:c r="B7" s="26" t="str">
        <x:v>Foundry</x:v>
      </x:c>
      <x:c r="C7" s="26" t="str">
        <x:v>Advanced node and customer CAPEX</x:v>
      </x:c>
      <x:c r="D7" s="26" t="str">
        <x:v>No memory/device mix</x:v>
      </x:c>
      <x:c r="E7" s="26" t="str">
        <x:v>Foundry reference</x:v>
      </x:c>
      <x:c r="F7" s="26" t="str">
        <x:v>TSMC IR</x:v>
      </x:c>
    </x:row>
    <x:row r="8">
      <x:c r="A8" s="26" t="str">
        <x:v>Apple/Xiaomi</x:v>
      </x:c>
      <x:c r="B8" s="26" t="str">
        <x:v>DX demand</x:v>
      </x:c>
      <x:c r="C8" s="26" t="str">
        <x:v>Premium smartphone demand and component cost</x:v>
      </x:c>
      <x:c r="D8" s="26" t="str">
        <x:v>Different business model</x:v>
      </x:c>
      <x:c r="E8" s="26" t="str">
        <x:v>Demand signal only</x:v>
      </x:c>
      <x:c r="F8" s="26" t="str">
        <x:v>Company IR</x:v>
      </x:c>
    </x:row>
    <x:row r="9">
      <x:c r="A9" s="26" t="str">
        <x:v>LG Display</x:v>
      </x:c>
      <x:c r="B9" s="26" t="str">
        <x:v>SDC</x:v>
      </x:c>
      <x:c r="C9" s="26" t="str">
        <x:v>OLED cycle</x:v>
      </x:c>
      <x:c r="D9" s="26" t="str">
        <x:v>Different customer concentration</x:v>
      </x:c>
      <x:c r="E9" s="26" t="str">
        <x:v>Display reference</x:v>
      </x:c>
      <x:c r="F9" s="26" t="str">
        <x:v>Company IR</x:v>
      </x:c>
    </x:row>
    <x:row r="12">
      <x:c r="A12" s="12" t="str">
        <x:v>Earnings pool</x:v>
      </x:c>
      <x:c r="B12" s="12" t="str">
        <x:v>Normalised EPS</x:v>
      </x:c>
      <x:c r="C12" s="12" t="str">
        <x:v>PER</x:v>
      </x:c>
      <x:c r="D12" s="12" t="str">
        <x:v>Value per share</x:v>
      </x:c>
      <x:c r="E12" s="12" t="str">
        <x:v>Reason for multiple</x:v>
      </x:c>
    </x:row>
    <x:row r="13">
      <x:c r="A13" s="26" t="str">
        <x:v>HBM + server DRAM</x:v>
      </x:c>
      <x:c r="B13" s="37" t="n">
        <x:v>16000</x:v>
      </x:c>
      <x:c r="C13" s="37" t="n">
        <x:v>8</x:v>
      </x:c>
      <x:c r="D13" s="29" t="n">
        <x:f>B13*C13</x:f>
        <x:v>128000</x:v>
      </x:c>
      <x:c r="E13" s="26" t="str">
        <x:v>HBM qualification and server-demand premium</x:v>
      </x:c>
    </x:row>
    <x:row r="14">
      <x:c r="A14" s="26" t="str">
        <x:v>Commodity memory</x:v>
      </x:c>
      <x:c r="B14" s="37" t="n">
        <x:v>16000</x:v>
      </x:c>
      <x:c r="C14" s="37" t="n">
        <x:v>4.5</x:v>
      </x:c>
      <x:c r="D14" s="29" t="n">
        <x:f>B14*C14</x:f>
        <x:v>72000</x:v>
      </x:c>
      <x:c r="E14" s="26" t="str">
        <x:v>DRAM/NAND cycle normalisation and supply risk</x:v>
      </x:c>
    </x:row>
    <x:row r="15">
      <x:c r="A15" s="26" t="str">
        <x:v>DX + SDC + Harman</x:v>
      </x:c>
      <x:c r="B15" s="37" t="n">
        <x:v>18000</x:v>
      </x:c>
      <x:c r="C15" s="37" t="n">
        <x:v>7</x:v>
      </x:c>
      <x:c r="D15" s="29" t="n">
        <x:f>B15*C15</x:f>
        <x:v>126000</x:v>
      </x:c>
      <x:c r="E15" s="26" t="str">
        <x:v>Normalised consumer, display and auto earnings</x:v>
      </x:c>
    </x:row>
    <x:row r="16">
      <x:c r="A16" s="26" t="str">
        <x:v>Foundry &amp; S.LSI</x:v>
      </x:c>
      <x:c r="B16" s="37" t="n">
        <x:v>0</x:v>
      </x:c>
      <x:c r="C16" s="37" t="str">
        <x:v>N/M</x:v>
      </x:c>
      <x:c r="D16" s="29" t="n">
        <x:v>0</x:v>
      </x:c>
      <x:c r="E16" s="26" t="str">
        <x:v>Excluded: negative EPS; foundry value is addressed separately in SOTP scenarios. Zero means excluded from PER, not zero economic value.</x:v>
      </x:c>
    </x:row>
    <x:row r="19">
      <x:c r="A19" s="12" t="str">
        <x:v>Segment PER result</x:v>
      </x:c>
      <x:c r="B19" s="12" t="str">
        <x:v>Value</x:v>
      </x:c>
    </x:row>
    <x:row r="20">
      <x:c r="A20" t="str">
        <x:v>Normalised EPS</x:v>
      </x:c>
      <x:c r="B20" s="35" t="n">
        <x:f>SUM(B13:B16)</x:f>
        <x:v>50000</x:v>
      </x:c>
    </x:row>
    <x:row r="21">
      <x:c r="A21" t="str">
        <x:v>Value per share</x:v>
      </x:c>
      <x:c r="B21" s="35" t="n">
        <x:f>SUM(D13:D16)</x:f>
        <x:v>326000</x:v>
      </x:c>
    </x:row>
    <x:row r="23" ht="22" customHeight="1">
      <x:c r="A23" s="51" t="str">
        <x:v>Peer eligibility and interpretation</x:v>
      </x:c>
      <x:c r="B23" s="51"/>
      <x:c r="C23" s="51"/>
      <x:c r="D23" s="51"/>
      <x:c r="E23" s="51"/>
      <x:c r="F23" s="51"/>
    </x:row>
    <x:row r="24" ht="34" customHeight="1">
      <x:c r="A24" s="55" t="str">
        <x:v>Segment peer</x:v>
      </x:c>
      <x:c r="B24" s="55" t="str">
        <x:v>SK hynix/Micron: memory anchors; TSMC: foundry operating benchmark; Apple/Xiaomi: DX demand proxies; LG Display: OLED cycle reference.</x:v>
      </x:c>
      <x:c r="C24" s="55"/>
      <x:c r="D24" s="55"/>
      <x:c r="E24" s="55"/>
      <x:c r="F24" s="55"/>
    </x:row>
    <x:row r="25" ht="34" customHeight="1">
      <x:c r="A25" s="59" t="str">
        <x:v>Inclusion gate</x:v>
      </x:c>
      <x:c r="B25" s="59" t="str">
        <x:v>Comparable segment, normalized earnings, same market date and forecast period, consistent EV/equity denominator, dated source.</x:v>
      </x:c>
      <x:c r="C25" s="59"/>
      <x:c r="D25" s="59"/>
      <x:c r="E25" s="59"/>
      <x:c r="F25" s="59"/>
    </x:row>
    <x:row r="26" ht="34" customHeight="1">
      <x:c r="A26" s="55" t="str">
        <x:v>No blended median</x:v>
      </x:c>
      <x:c r="B26" s="55" t="str">
        <x:v>Never combine segment EV/EBIT, EV/EBITDA and PER. Negative/near-zero EPS is excluded from PER.</x:v>
      </x:c>
      <x:c r="C26" s="55"/>
      <x:c r="D26" s="55"/>
      <x:c r="E26" s="55"/>
      <x:c r="F26" s="55"/>
    </x:row>
    <x:row r="27" ht="34" customHeight="1">
      <x:c r="A27" s="59" t="str">
        <x:v>Premium test</x:v>
      </x:c>
      <x:c r="B27" s="59" t="str">
        <x:v>Growth/mix uplift already in forecast EBIT cannot be rewarded a second time in the multiple.</x:v>
      </x:c>
      <x:c r="C27" s="59"/>
      <x:c r="D27" s="59"/>
      <x:c r="E27" s="59"/>
      <x:c r="F27" s="59"/>
    </x:row>
    <x:row r="28" ht="34" customHeight="1">
      <x:c r="A28" s="55" t="str">
        <x:v>Read-through</x:v>
      </x:c>
      <x:c r="B28" s="55" t="str">
        <x:v>See research/PEER_SELECTION_SCORECARD.md and report/METHODOLOGY_APPENDIX.md for detailed rationale.</x:v>
      </x:c>
      <x:c r="C28" s="55"/>
      <x:c r="D28" s="55"/>
      <x:c r="E28" s="55"/>
      <x:c r="F28" s="55"/>
    </x:row>
  </x:sheetData>
  <x:mergeCells>
    <x:mergeCell ref="A1:H1"/>
    <x:mergeCell ref="A2:H2"/>
    <x:mergeCell ref="A23:F23"/>
    <x:mergeCell ref="B24:F24"/>
    <x:mergeCell ref="B25:F25"/>
    <x:mergeCell ref="B26:F26"/>
    <x:mergeCell ref="B27:F27"/>
    <x:mergeCell ref="B28:F28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3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4" t="str">
        <x:v>Audit and Refresh Checklist</x:v>
      </x:c>
    </x:row>
    <x:row r="2" ht="24" customHeight="1">
      <x:c r="A2" s="7" t="str">
        <x:v>Update hardcoded actuals and inputs only after each official earnings release.</x:v>
      </x:c>
    </x:row>
    <x:row r="4">
      <x:c r="A4" s="12" t="str">
        <x:v>Check</x:v>
      </x:c>
      <x:c r="B4" s="12" t="str">
        <x:v>Reference</x:v>
      </x:c>
      <x:c r="C4" s="12" t="str">
        <x:v>Result</x:v>
      </x:c>
      <x:c r="D4" s="12" t="str">
        <x:v>Status</x:v>
      </x:c>
    </x:row>
    <x:row r="5">
      <x:c r="A5" s="26" t="str">
        <x:v>2Q26 operating margin</x:v>
      </x:c>
      <x:c r="B5" s="26" t="str">
        <x:v>89,500 / 171,500</x:v>
      </x:c>
      <x:c r="C5" s="41" t="n">
        <x:f>89500/171500</x:f>
        <x:v>0.521865889212828</x:v>
      </x:c>
      <x:c r="D5" s="23" t="str">
        <x:v>PASS</x:v>
      </x:c>
    </x:row>
    <x:row r="6">
      <x:c r="A6" s="26" t="str">
        <x:v>2Q26 DS margin</x:v>
      </x:c>
      <x:c r="B6" s="26" t="str">
        <x:v>89,200 / 127,500</x:v>
      </x:c>
      <x:c r="C6" s="41" t="n">
        <x:f>89200/127500</x:f>
        <x:v>0.6996078431372549</x:v>
      </x:c>
      <x:c r="D6" s="23" t="str">
        <x:v>PASS</x:v>
      </x:c>
    </x:row>
    <x:row r="7">
      <x:c r="A7" s="26" t="str">
        <x:v>Net cash</x:v>
      </x:c>
      <x:c r="B7" s="26" t="str">
        <x:v>Cash - debt</x:v>
      </x:c>
      <x:c r="C7" s="46" t="n">
        <x:f>189999-22409</x:f>
        <x:v>167590</x:v>
      </x:c>
      <x:c r="D7" s="23" t="str">
        <x:v>PASS</x:v>
      </x:c>
    </x:row>
    <x:row r="8">
      <x:c r="A8" s="26" t="str">
        <x:v>SOTP output</x:v>
      </x:c>
      <x:c r="B8" s="26" t="str">
        <x:v>EV + net cash / shares</x:v>
      </x:c>
      <x:c r="C8" s="46" t="n">
        <x:f>SOTP!B17</x:f>
        <x:v>361785.8937845535</x:v>
      </x:c>
      <x:c r="D8" s="23" t="str">
        <x:v>PASS</x:v>
      </x:c>
    </x:row>
    <x:row r="9">
      <x:c r="A9" s="26" t="str">
        <x:v>DCF output</x:v>
      </x:c>
      <x:c r="B9" s="26" t="str">
        <x:v>FCFF + terminal value + net cash</x:v>
      </x:c>
      <x:c r="C9" s="46" t="n">
        <x:f>DCF!B24</x:f>
        <x:v>423484.7385269106</x:v>
      </x:c>
      <x:c r="D9" s="23" t="str">
        <x:v>PASS</x:v>
      </x:c>
    </x:row>
    <x:row r="10">
      <x:c r="A10" s="26" t="str">
        <x:v>RIM output</x:v>
      </x:c>
      <x:c r="B10" s="26" t="str">
        <x:v>Book value + residual income</x:v>
      </x:c>
      <x:c r="C10" s="46" t="n">
        <x:f>RIM!B20</x:f>
        <x:v>173443.57213569002</x:v>
      </x:c>
      <x:c r="D10" s="23" t="str">
        <x:v>PASS</x:v>
      </x:c>
    </x:row>
    <x:row r="11">
      <x:c r="A11" s="26" t="str">
        <x:v>3Q data state</x:v>
      </x:c>
      <x:c r="B11" s="26" t="str">
        <x:v>Preliminary only</x:v>
      </x:c>
      <x:c r="C11" s="26" t="str">
        <x:v>Await 2026-10-29</x:v>
      </x:c>
      <x:c r="D11" s="49" t="str">
        <x:v>PENDING</x:v>
      </x:c>
    </x:row>
  </x:sheetData>
  <x:mergeCells>
    <x:mergeCell ref="A1:H1"/>
    <x:mergeCell ref="A2:H2"/>
  </x:mergeCells>
  <x:pageMargins left="0.7" right="0.7" top="0.75" bottom="0.75" header="0.3" footer="0.3"/>
</x:worksheet>
</file>